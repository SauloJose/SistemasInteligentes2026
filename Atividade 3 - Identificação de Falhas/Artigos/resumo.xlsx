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lo\Desktop\UFCG\AULAS\SISTEMAS INTELIGENTES - 2026\Atividade 3 - Identificação de Falhas\Artigos\"/>
    </mc:Choice>
  </mc:AlternateContent>
  <xr:revisionPtr revIDLastSave="0" documentId="8_{9F039B04-D673-46A1-A952-47C9E5266A3D}" xr6:coauthVersionLast="47" xr6:coauthVersionMax="47" xr10:uidLastSave="{00000000-0000-0000-0000-000000000000}"/>
  <bookViews>
    <workbookView xWindow="-108" yWindow="-108" windowWidth="23256" windowHeight="12456" xr2:uid="{39738BB0-0E85-4A6F-8B50-72D1FB77E8A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3" i="1" l="1"/>
  <c r="C23" i="1"/>
  <c r="D23" i="1"/>
  <c r="E23" i="1"/>
  <c r="F23" i="1"/>
  <c r="G23" i="1"/>
  <c r="H23" i="1"/>
  <c r="I23" i="1"/>
  <c r="B23" i="1"/>
</calcChain>
</file>

<file path=xl/sharedStrings.xml><?xml version="1.0" encoding="utf-8"?>
<sst xmlns="http://schemas.openxmlformats.org/spreadsheetml/2006/main" count="32" uniqueCount="32">
  <si>
    <t>Falha</t>
  </si>
  <si>
    <t>PCA</t>
  </si>
  <si>
    <t>DPCA</t>
  </si>
  <si>
    <t>PLS</t>
  </si>
  <si>
    <t>TPLS</t>
  </si>
  <si>
    <t>MPLS</t>
  </si>
  <si>
    <t>ICA</t>
  </si>
  <si>
    <t>MICA</t>
  </si>
  <si>
    <t>FDA</t>
  </si>
  <si>
    <t>IDV(01)</t>
  </si>
  <si>
    <t>IDV(02)</t>
  </si>
  <si>
    <t>IDV(03)</t>
  </si>
  <si>
    <t>IDV(04)</t>
  </si>
  <si>
    <t>IDV(05)</t>
  </si>
  <si>
    <t>IDV(06)</t>
  </si>
  <si>
    <t>IDV(07)</t>
  </si>
  <si>
    <t>IDV(08)</t>
  </si>
  <si>
    <t>IDV(09)</t>
  </si>
  <si>
    <t>IDV(10)</t>
  </si>
  <si>
    <t>IDV(11)</t>
  </si>
  <si>
    <t>IDV(12)</t>
  </si>
  <si>
    <t>IDV(13)</t>
  </si>
  <si>
    <t>IDV(14)</t>
  </si>
  <si>
    <t>IDV(15)</t>
  </si>
  <si>
    <t>IDV(16)</t>
  </si>
  <si>
    <t>IDV(17)</t>
  </si>
  <si>
    <t>IDV(18)</t>
  </si>
  <si>
    <t>IDV(19)</t>
  </si>
  <si>
    <t>IDV(20)</t>
  </si>
  <si>
    <t>IDV(21)</t>
  </si>
  <si>
    <t>MÉDIA</t>
  </si>
  <si>
    <t>PAE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</si>
</sst>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14"/>
      <color theme="1"/>
      <name val="Aptos Display"/>
      <family val="2"/>
      <scheme val="major"/>
    </font>
    <font>
      <sz val="14"/>
      <name val="Aptos Display"/>
      <family val="2"/>
      <scheme val="major"/>
    </font>
    <font>
      <sz val="10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ptos Display"/>
        <family val="2"/>
        <scheme val="maj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ptos Display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Display"/>
        <family val="2"/>
        <scheme val="maj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Display"/>
        <family val="2"/>
        <scheme val="maj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Display"/>
        <family val="2"/>
        <scheme val="maj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Display"/>
        <family val="2"/>
        <scheme val="maj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Display"/>
        <family val="2"/>
        <scheme val="maj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Display"/>
        <family val="2"/>
        <scheme val="maj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Display"/>
        <family val="2"/>
        <scheme val="maj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Display"/>
        <family val="2"/>
        <scheme val="maj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Display"/>
        <family val="2"/>
        <scheme val="maj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Display"/>
        <family val="2"/>
        <scheme val="maj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Display"/>
        <family val="2"/>
        <scheme val="maj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Display"/>
        <family val="2"/>
        <scheme val="maj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Display"/>
        <family val="2"/>
        <scheme val="maj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Display"/>
        <family val="2"/>
        <scheme val="maj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Display"/>
        <family val="2"/>
        <scheme val="maj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Display"/>
        <family val="2"/>
        <scheme val="maj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Display"/>
        <family val="2"/>
        <scheme val="maj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Display"/>
        <family val="2"/>
        <scheme val="maj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ill>
        <patternFill>
          <bgColor rgb="FFFF0000"/>
        </patternFill>
      </fill>
    </dxf>
    <dxf>
      <font>
        <color theme="1"/>
      </font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972604-0557-432E-AFC9-ADAEC6D2498D}" name="Tabela1" displayName="Tabela1" ref="A1:J23" totalsRowCount="1" headerRowDxfId="0" dataDxfId="2" totalsRowDxfId="3" headerRowBorderDxfId="1">
  <autoFilter ref="A1:J22" xr:uid="{D2972604-0557-432E-AFC9-ADAEC6D2498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51844EFF-B02B-4DB6-B53E-5C2D2E830BAE}" name="Falha" totalsRowLabel="MÉDIA" dataDxfId="23" totalsRowDxfId="22"/>
    <tableColumn id="2" xr3:uid="{B87E00C8-3DEC-424F-A7CF-979C78DC900B}" name="PCA" totalsRowFunction="average" dataDxfId="21" totalsRowDxfId="20"/>
    <tableColumn id="3" xr3:uid="{F45441CA-DEF2-46DE-82A3-6F3635916246}" name="DPCA" totalsRowFunction="average" dataDxfId="19" totalsRowDxfId="18"/>
    <tableColumn id="4" xr3:uid="{82667C8A-499F-4B25-B1AC-9D3A387AAABA}" name="PLS" totalsRowFunction="average" dataDxfId="17" totalsRowDxfId="16"/>
    <tableColumn id="5" xr3:uid="{76051541-9139-48D9-A88A-C1734416A687}" name="TPLS" totalsRowFunction="average" dataDxfId="15" totalsRowDxfId="14"/>
    <tableColumn id="6" xr3:uid="{1A6B7953-27FE-46C3-9FEC-1F718EAC0875}" name="MPLS" totalsRowFunction="average" dataDxfId="13" totalsRowDxfId="12"/>
    <tableColumn id="7" xr3:uid="{75C9739C-1E0D-49E7-837C-1CD8EC15D488}" name="ICA" totalsRowFunction="average" dataDxfId="11" totalsRowDxfId="10"/>
    <tableColumn id="8" xr3:uid="{BE3D615B-1F8F-41FC-83E7-A6F19B2A46F6}" name="MICA" totalsRowFunction="average" dataDxfId="9" totalsRowDxfId="8"/>
    <tableColumn id="9" xr3:uid="{A8A5F642-226D-47A9-93C5-0F16ABFA4218}" name="FDA" totalsRowFunction="average" dataDxfId="7" totalsRowDxfId="6"/>
    <tableColumn id="10" xr3:uid="{0BFC2885-3E5B-43D8-B41C-A838B614CA05}" name="PAE" totalsRowFunction="average" dataDxfId="5" totalsRowDxfId="4"/>
  </tableColumns>
  <tableStyleInfo name="TableStyleLight4" showFirstColumn="1" showLastColumn="0" showRowStripes="0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FF697-9ED0-4878-B0D5-07512572B74C}">
  <sheetPr>
    <pageSetUpPr fitToPage="1"/>
  </sheetPr>
  <dimension ref="A1:J23"/>
  <sheetViews>
    <sheetView tabSelected="1" workbookViewId="0">
      <selection activeCell="M21" sqref="M21"/>
    </sheetView>
  </sheetViews>
  <sheetFormatPr defaultRowHeight="14.4" x14ac:dyDescent="0.3"/>
  <cols>
    <col min="1" max="1" width="8.6640625" style="1" customWidth="1"/>
    <col min="2" max="9" width="12.77734375" style="1" customWidth="1"/>
    <col min="10" max="16384" width="8.88671875" style="1"/>
  </cols>
  <sheetData>
    <row r="1" spans="1:10" s="2" customFormat="1" ht="18.600000000000001" thickBo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31</v>
      </c>
    </row>
    <row r="2" spans="1:10" ht="16.2" customHeight="1" x14ac:dyDescent="0.3">
      <c r="A2" s="3" t="s">
        <v>9</v>
      </c>
      <c r="B2" s="4">
        <v>0.999</v>
      </c>
      <c r="C2" s="4">
        <v>0.999</v>
      </c>
      <c r="D2" s="4">
        <v>0.999</v>
      </c>
      <c r="E2" s="4">
        <v>0.999</v>
      </c>
      <c r="F2" s="4">
        <v>0.999</v>
      </c>
      <c r="G2" s="4">
        <v>0.999</v>
      </c>
      <c r="H2" s="4">
        <v>0.998</v>
      </c>
      <c r="I2" s="4">
        <v>0.98899999999999999</v>
      </c>
      <c r="J2" s="4">
        <v>0.999</v>
      </c>
    </row>
    <row r="3" spans="1:10" ht="16.2" customHeight="1" x14ac:dyDescent="0.3">
      <c r="A3" s="3" t="s">
        <v>10</v>
      </c>
      <c r="B3" s="4">
        <v>0.98799999999999999</v>
      </c>
      <c r="C3" s="4">
        <v>0.98899999999999999</v>
      </c>
      <c r="D3" s="4">
        <v>0.98899999999999999</v>
      </c>
      <c r="E3" s="4">
        <v>0.98899999999999999</v>
      </c>
      <c r="F3" s="4">
        <v>0.98799999999999999</v>
      </c>
      <c r="G3" s="4">
        <v>0.98899999999999999</v>
      </c>
      <c r="H3" s="4">
        <v>0.97899999999999998</v>
      </c>
      <c r="I3" s="4">
        <v>0.96899999999999997</v>
      </c>
      <c r="J3" s="4">
        <v>0.98599999999999999</v>
      </c>
    </row>
    <row r="4" spans="1:10" ht="16.2" customHeight="1" x14ac:dyDescent="0.3">
      <c r="A4" s="3" t="s">
        <v>11</v>
      </c>
      <c r="B4" s="4">
        <v>0.129</v>
      </c>
      <c r="C4" s="4">
        <v>0.121</v>
      </c>
      <c r="D4" s="4">
        <v>0.121</v>
      </c>
      <c r="E4" s="4">
        <v>0.17599999999999999</v>
      </c>
      <c r="F4" s="4">
        <v>0.13600000000000001</v>
      </c>
      <c r="G4" s="4">
        <v>0.14899999999999999</v>
      </c>
      <c r="H4" s="4">
        <v>3.4000000000000002E-2</v>
      </c>
      <c r="I4" s="4">
        <v>1.4999999999999999E-2</v>
      </c>
      <c r="J4" s="4">
        <v>0.311</v>
      </c>
    </row>
    <row r="5" spans="1:10" ht="16.2" customHeight="1" x14ac:dyDescent="0.3">
      <c r="A5" s="3" t="s">
        <v>12</v>
      </c>
      <c r="B5" s="4">
        <v>1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0.97499999999999998</v>
      </c>
      <c r="I5" s="4">
        <v>1</v>
      </c>
      <c r="J5" s="4">
        <v>0.98099999999999998</v>
      </c>
    </row>
    <row r="6" spans="1:10" ht="16.2" customHeight="1" x14ac:dyDescent="0.3">
      <c r="A6" s="3" t="s">
        <v>13</v>
      </c>
      <c r="B6" s="4">
        <v>0.33600000000000002</v>
      </c>
      <c r="C6" s="4">
        <v>0.371</v>
      </c>
      <c r="D6" s="4">
        <v>0.371</v>
      </c>
      <c r="E6" s="4">
        <v>0.374</v>
      </c>
      <c r="F6" s="4">
        <v>0.36499999999999999</v>
      </c>
      <c r="G6" s="4">
        <v>0.35899999999999999</v>
      </c>
      <c r="H6" s="4">
        <v>0.26200000000000001</v>
      </c>
      <c r="I6" s="4">
        <v>0.999</v>
      </c>
      <c r="J6" s="4">
        <v>0.505</v>
      </c>
    </row>
    <row r="7" spans="1:10" ht="16.2" customHeight="1" x14ac:dyDescent="0.3">
      <c r="A7" s="3" t="s">
        <v>14</v>
      </c>
      <c r="B7" s="4">
        <v>1</v>
      </c>
      <c r="C7" s="4">
        <v>1</v>
      </c>
      <c r="D7" s="4">
        <v>1</v>
      </c>
      <c r="E7" s="4">
        <v>1</v>
      </c>
      <c r="F7" s="4">
        <v>1</v>
      </c>
      <c r="G7" s="4">
        <v>1</v>
      </c>
      <c r="H7" s="4">
        <v>1</v>
      </c>
      <c r="I7" s="4">
        <v>1</v>
      </c>
      <c r="J7" s="4">
        <v>1</v>
      </c>
    </row>
    <row r="8" spans="1:10" ht="16.2" customHeight="1" x14ac:dyDescent="0.3">
      <c r="A8" s="3" t="s">
        <v>15</v>
      </c>
      <c r="B8" s="4">
        <v>1</v>
      </c>
      <c r="C8" s="4">
        <v>1</v>
      </c>
      <c r="D8" s="4">
        <v>1</v>
      </c>
      <c r="E8" s="4">
        <v>1</v>
      </c>
      <c r="F8" s="4">
        <v>1</v>
      </c>
      <c r="G8" s="4">
        <v>1</v>
      </c>
      <c r="H8" s="4">
        <v>1</v>
      </c>
      <c r="I8" s="4">
        <v>0.218</v>
      </c>
      <c r="J8" s="4">
        <v>1</v>
      </c>
    </row>
    <row r="9" spans="1:10" ht="16.2" customHeight="1" x14ac:dyDescent="0.3">
      <c r="A9" s="3" t="s">
        <v>16</v>
      </c>
      <c r="B9" s="4">
        <v>0.98</v>
      </c>
      <c r="C9" s="4">
        <v>0.98</v>
      </c>
      <c r="D9" s="4">
        <v>0.98</v>
      </c>
      <c r="E9" s="4">
        <v>0.98399999999999999</v>
      </c>
      <c r="F9" s="4">
        <v>0.98499999999999999</v>
      </c>
      <c r="G9" s="4">
        <v>0.98099999999999998</v>
      </c>
      <c r="H9" s="4">
        <v>0.97099999999999997</v>
      </c>
      <c r="I9" s="4">
        <v>0.57599999999999996</v>
      </c>
      <c r="J9" s="4">
        <v>0.99099999999999999</v>
      </c>
    </row>
    <row r="10" spans="1:10" ht="16.2" customHeight="1" x14ac:dyDescent="0.3">
      <c r="A10" s="3" t="s">
        <v>17</v>
      </c>
      <c r="B10" s="4">
        <v>8.4000000000000005E-2</v>
      </c>
      <c r="C10" s="4">
        <v>0.10100000000000001</v>
      </c>
      <c r="D10" s="4">
        <v>0.10100000000000001</v>
      </c>
      <c r="E10" s="4">
        <v>0.161</v>
      </c>
      <c r="F10" s="4">
        <v>0.13500000000000001</v>
      </c>
      <c r="G10" s="4">
        <v>0.106</v>
      </c>
      <c r="H10" s="4">
        <v>1.6E-2</v>
      </c>
      <c r="I10" s="4">
        <v>1.2E-2</v>
      </c>
      <c r="J10" s="4">
        <v>0.27100000000000002</v>
      </c>
    </row>
    <row r="11" spans="1:10" ht="16.2" customHeight="1" x14ac:dyDescent="0.3">
      <c r="A11" s="3" t="s">
        <v>18</v>
      </c>
      <c r="B11" s="4">
        <v>0.60499999999999998</v>
      </c>
      <c r="C11" s="4">
        <v>0.63</v>
      </c>
      <c r="D11" s="4">
        <v>0.63</v>
      </c>
      <c r="E11" s="4">
        <v>0.77200000000000002</v>
      </c>
      <c r="F11" s="4">
        <v>0.9</v>
      </c>
      <c r="G11" s="4">
        <v>0.63100000000000001</v>
      </c>
      <c r="H11" s="4">
        <v>0.41099999999999998</v>
      </c>
      <c r="I11" s="4">
        <v>0.65600000000000003</v>
      </c>
      <c r="J11" s="4">
        <v>0.66800000000000004</v>
      </c>
    </row>
    <row r="12" spans="1:10" ht="16.2" customHeight="1" x14ac:dyDescent="0.3">
      <c r="A12" s="3" t="s">
        <v>19</v>
      </c>
      <c r="B12" s="4">
        <v>0.78900000000000003</v>
      </c>
      <c r="C12" s="4">
        <v>0.84199999999999997</v>
      </c>
      <c r="D12" s="4">
        <v>0.84199999999999997</v>
      </c>
      <c r="E12" s="4">
        <v>0.81899999999999995</v>
      </c>
      <c r="F12" s="4">
        <v>0.81</v>
      </c>
      <c r="G12" s="4">
        <v>0.81100000000000005</v>
      </c>
      <c r="H12" s="4">
        <v>0.64200000000000002</v>
      </c>
      <c r="I12" s="4">
        <v>0.65900000000000003</v>
      </c>
      <c r="J12" s="4">
        <v>0.79</v>
      </c>
    </row>
    <row r="13" spans="1:10" ht="16.2" customHeight="1" x14ac:dyDescent="0.3">
      <c r="A13" s="3" t="s">
        <v>20</v>
      </c>
      <c r="B13" s="4">
        <v>0.99099999999999999</v>
      </c>
      <c r="C13" s="4">
        <v>0.99099999999999999</v>
      </c>
      <c r="D13" s="4">
        <v>0.99099999999999999</v>
      </c>
      <c r="E13" s="4">
        <v>0.99399999999999999</v>
      </c>
      <c r="F13" s="4">
        <v>0.995</v>
      </c>
      <c r="G13" s="4">
        <v>0.99199999999999999</v>
      </c>
      <c r="H13" s="4">
        <v>0.99</v>
      </c>
      <c r="I13" s="4">
        <v>0.81899999999999995</v>
      </c>
      <c r="J13" s="4">
        <v>0.998</v>
      </c>
    </row>
    <row r="14" spans="1:10" ht="16.2" customHeight="1" x14ac:dyDescent="0.3">
      <c r="A14" s="3" t="s">
        <v>21</v>
      </c>
      <c r="B14" s="4">
        <v>0.95399999999999996</v>
      </c>
      <c r="C14" s="4">
        <v>0.95399999999999996</v>
      </c>
      <c r="D14" s="4">
        <v>0.95399999999999996</v>
      </c>
      <c r="E14" s="4">
        <v>0.95199999999999996</v>
      </c>
      <c r="F14" s="4">
        <v>0.95199999999999996</v>
      </c>
      <c r="G14" s="4">
        <v>0.95399999999999996</v>
      </c>
      <c r="H14" s="4">
        <v>0.94399999999999995</v>
      </c>
      <c r="I14" s="4">
        <v>0.58799999999999997</v>
      </c>
      <c r="J14" s="4">
        <v>0.95799999999999996</v>
      </c>
    </row>
    <row r="15" spans="1:10" ht="16.2" customHeight="1" x14ac:dyDescent="0.3">
      <c r="A15" s="3" t="s">
        <v>22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0.92600000000000005</v>
      </c>
      <c r="J15" s="4">
        <v>1</v>
      </c>
    </row>
    <row r="16" spans="1:10" ht="16.2" customHeight="1" x14ac:dyDescent="0.3">
      <c r="A16" s="3" t="s">
        <v>23</v>
      </c>
      <c r="B16" s="4">
        <v>0.14099999999999999</v>
      </c>
      <c r="C16" s="4">
        <v>0.16900000000000001</v>
      </c>
      <c r="D16" s="4">
        <v>0.16900000000000001</v>
      </c>
      <c r="E16" s="4">
        <v>0.246</v>
      </c>
      <c r="F16" s="4">
        <v>0.21099999999999999</v>
      </c>
      <c r="G16" s="4">
        <v>0.18</v>
      </c>
      <c r="H16" s="4">
        <v>5.5E-2</v>
      </c>
      <c r="I16" s="4">
        <v>1.4999999999999999E-2</v>
      </c>
      <c r="J16" s="4">
        <v>0.28699999999999998</v>
      </c>
    </row>
    <row r="17" spans="1:10" ht="16.2" customHeight="1" x14ac:dyDescent="0.3">
      <c r="A17" s="3" t="s">
        <v>24</v>
      </c>
      <c r="B17" s="4">
        <v>0.55200000000000005</v>
      </c>
      <c r="C17" s="4">
        <v>0.57999999999999996</v>
      </c>
      <c r="D17" s="4">
        <v>0.57999999999999996</v>
      </c>
      <c r="E17" s="4">
        <v>0.65500000000000003</v>
      </c>
      <c r="F17" s="4">
        <v>0.80400000000000005</v>
      </c>
      <c r="G17" s="4">
        <v>0.58899999999999997</v>
      </c>
      <c r="H17" s="4">
        <v>0.28999999999999998</v>
      </c>
      <c r="I17" s="4">
        <v>6.9000000000000006E-2</v>
      </c>
      <c r="J17" s="4">
        <v>0.64600000000000002</v>
      </c>
    </row>
    <row r="18" spans="1:10" ht="16.2" customHeight="1" x14ac:dyDescent="0.3">
      <c r="A18" s="3" t="s">
        <v>25</v>
      </c>
      <c r="B18" s="4">
        <v>0.95199999999999996</v>
      </c>
      <c r="C18" s="4">
        <v>0.96199999999999997</v>
      </c>
      <c r="D18" s="4">
        <v>0.96199999999999997</v>
      </c>
      <c r="E18" s="4">
        <v>0.95899999999999996</v>
      </c>
      <c r="F18" s="4">
        <v>0.95199999999999996</v>
      </c>
      <c r="G18" s="4">
        <v>0.96</v>
      </c>
      <c r="H18" s="4">
        <v>0.90400000000000003</v>
      </c>
      <c r="I18" s="4">
        <v>0.81399999999999995</v>
      </c>
      <c r="J18" s="4">
        <v>0.94899999999999995</v>
      </c>
    </row>
    <row r="19" spans="1:10" ht="16.2" customHeight="1" x14ac:dyDescent="0.3">
      <c r="A19" s="3" t="s">
        <v>26</v>
      </c>
      <c r="B19" s="4">
        <v>0.90500000000000003</v>
      </c>
      <c r="C19" s="4">
        <v>0.90500000000000003</v>
      </c>
      <c r="D19" s="4">
        <v>0.90500000000000003</v>
      </c>
      <c r="E19" s="4">
        <v>0.91600000000000004</v>
      </c>
      <c r="F19" s="4">
        <v>0.90900000000000003</v>
      </c>
      <c r="G19" s="4">
        <v>0.90600000000000003</v>
      </c>
      <c r="H19" s="4">
        <v>0.89600000000000002</v>
      </c>
      <c r="I19" s="4">
        <v>0.85899999999999999</v>
      </c>
      <c r="J19" s="4">
        <v>0.92100000000000004</v>
      </c>
    </row>
    <row r="20" spans="1:10" ht="16.2" customHeight="1" x14ac:dyDescent="0.3">
      <c r="A20" s="3" t="s">
        <v>27</v>
      </c>
      <c r="B20" s="4">
        <v>0.42099999999999999</v>
      </c>
      <c r="C20" s="4">
        <v>0.53900000000000003</v>
      </c>
      <c r="D20" s="4">
        <v>0.53900000000000003</v>
      </c>
      <c r="E20" s="4">
        <v>0.436</v>
      </c>
      <c r="F20" s="4">
        <v>0.33900000000000002</v>
      </c>
      <c r="G20" s="4">
        <v>0.51400000000000001</v>
      </c>
      <c r="H20" s="4">
        <v>0.22900000000000001</v>
      </c>
      <c r="I20" s="4">
        <v>0.02</v>
      </c>
      <c r="J20" s="4">
        <v>0.3</v>
      </c>
    </row>
    <row r="21" spans="1:10" ht="16.2" customHeight="1" x14ac:dyDescent="0.3">
      <c r="A21" s="3" t="s">
        <v>28</v>
      </c>
      <c r="B21" s="4">
        <v>0.63400000000000001</v>
      </c>
      <c r="C21" s="4">
        <v>0.66400000000000003</v>
      </c>
      <c r="D21" s="4">
        <v>0.66400000000000003</v>
      </c>
      <c r="E21" s="4">
        <v>0.68899999999999995</v>
      </c>
      <c r="F21" s="4">
        <v>0.65900000000000003</v>
      </c>
      <c r="G21" s="4">
        <v>0.65500000000000003</v>
      </c>
      <c r="H21" s="4">
        <v>0.496</v>
      </c>
      <c r="I21" s="4">
        <v>0.54900000000000004</v>
      </c>
      <c r="J21" s="4">
        <v>0.72399999999999998</v>
      </c>
    </row>
    <row r="22" spans="1:10" ht="16.2" customHeight="1" x14ac:dyDescent="0.3">
      <c r="A22" s="3" t="s">
        <v>29</v>
      </c>
      <c r="B22" s="4">
        <v>0.52100000000000002</v>
      </c>
      <c r="C22" s="4">
        <v>0.52200000000000002</v>
      </c>
      <c r="D22" s="4">
        <v>0.52200000000000002</v>
      </c>
      <c r="E22" s="4">
        <v>0.61099999999999999</v>
      </c>
      <c r="F22" s="4">
        <v>0.59799999999999998</v>
      </c>
      <c r="G22" s="4">
        <v>0.55000000000000004</v>
      </c>
      <c r="H22" s="4">
        <v>0.45500000000000002</v>
      </c>
      <c r="I22" s="4">
        <v>1.7999999999999999E-2</v>
      </c>
      <c r="J22" s="4">
        <v>0.56899999999999995</v>
      </c>
    </row>
    <row r="23" spans="1:10" x14ac:dyDescent="0.3">
      <c r="A23" s="3" t="s">
        <v>30</v>
      </c>
      <c r="B23" s="4">
        <f>SUBTOTAL(101,Tabela1[PCA])</f>
        <v>0.71338095238095234</v>
      </c>
      <c r="C23" s="4">
        <f>SUBTOTAL(101,Tabela1[DPCA])</f>
        <v>0.7294761904761905</v>
      </c>
      <c r="D23" s="4">
        <f>SUBTOTAL(101,Tabela1[PLS])</f>
        <v>0.7294761904761905</v>
      </c>
      <c r="E23" s="4">
        <f>SUBTOTAL(101,Tabela1[TPLS])</f>
        <v>0.74914285714285722</v>
      </c>
      <c r="F23" s="4">
        <f>SUBTOTAL(101,Tabela1[MPLS])</f>
        <v>0.74938095238095259</v>
      </c>
      <c r="G23" s="4">
        <f>SUBTOTAL(101,Tabela1[ICA])</f>
        <v>0.72976190476190472</v>
      </c>
      <c r="H23" s="4">
        <f>SUBTOTAL(101,Tabela1[MICA])</f>
        <v>0.64509523809523794</v>
      </c>
      <c r="I23" s="4">
        <f>SUBTOTAL(101,Tabela1[FDA])</f>
        <v>0.56047619047619046</v>
      </c>
      <c r="J23" s="4">
        <f>SUBTOTAL(101,Tabela1[PAE])</f>
        <v>0.75495238095238093</v>
      </c>
    </row>
  </sheetData>
  <conditionalFormatting sqref="B2:J22">
    <cfRule type="cellIs" dxfId="29" priority="2" operator="between">
      <formula>0.5</formula>
      <formula>0.949</formula>
    </cfRule>
    <cfRule type="cellIs" dxfId="28" priority="1" operator="lessThan">
      <formula>0.51</formula>
    </cfRule>
    <cfRule type="cellIs" dxfId="27" priority="3" operator="greaterThan">
      <formula>0.95</formula>
    </cfRule>
  </conditionalFormatting>
  <pageMargins left="0.511811024" right="0.511811024" top="0.78740157499999996" bottom="0.78740157499999996" header="0.31496062000000002" footer="0.31496062000000002"/>
  <pageSetup paperSize="9" scale="76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Saulo José Almeida Silva</dc:creator>
  <cp:lastModifiedBy>Saulo José Almeida Silva</cp:lastModifiedBy>
  <cp:lastPrinted>2026-05-18T15:20:04Z</cp:lastPrinted>
  <dcterms:created xsi:type="dcterms:W3CDTF">2026-05-18T14:43:05Z</dcterms:created>
  <dcterms:modified xsi:type="dcterms:W3CDTF">2026-05-18T15:42:33Z</dcterms:modified>
</cp:coreProperties>
</file>